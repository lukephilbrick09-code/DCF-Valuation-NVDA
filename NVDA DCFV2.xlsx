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V Stuff\"/>
    </mc:Choice>
  </mc:AlternateContent>
  <xr:revisionPtr revIDLastSave="0" documentId="8_{4CF2AFF6-AEC7-4B3F-AEB6-0E9B8075FB19}" xr6:coauthVersionLast="47" xr6:coauthVersionMax="47" xr10:uidLastSave="{00000000-0000-0000-0000-000000000000}"/>
  <bookViews>
    <workbookView xWindow="-120" yWindow="-120" windowWidth="29040" windowHeight="15720" firstSheet="1" activeTab="1" xr2:uid="{608A0F95-C411-4E87-BE42-51159C3A09C7}"/>
  </bookViews>
  <sheets>
    <sheet name="__FDSCACHE__" sheetId="6" state="veryHidden" r:id="rId1"/>
    <sheet name="DCF" sheetId="8" r:id="rId2"/>
    <sheet name="WACC" sheetId="7" r:id="rId3"/>
  </sheets>
  <externalReferences>
    <externalReference r:id="rId4"/>
    <externalReference r:id="rId5"/>
  </externalReferences>
  <definedNames>
    <definedName name="CASE">'[1]Operating Model'!#REF!</definedName>
    <definedName name="CIRC">'[1]Operating Model'!#REF!</definedName>
    <definedName name="PIK">[2]LBO!$E$8</definedName>
    <definedName name="tgr" localSheetId="1">DCF!$D$10</definedName>
    <definedName name="tgr" localSheetId="2">WACC!#REF!</definedName>
    <definedName name="tgr">#REF!</definedName>
    <definedName name="wacc" localSheetId="1">DCF!$D$9</definedName>
    <definedName name="wacc" localSheetId="2">WACC!#REF!</definedName>
    <definedName name="wacc">#REF!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N58" i="8"/>
  <c r="N61" i="8" s="1"/>
  <c r="N63" i="8" s="1"/>
  <c r="G4" i="8" s="1"/>
  <c r="N59" i="8"/>
  <c r="D22" i="7"/>
  <c r="L54" i="8"/>
  <c r="N57" i="8"/>
  <c r="D9" i="8"/>
  <c r="K54" i="8" s="1"/>
  <c r="D15" i="7"/>
  <c r="I39" i="8"/>
  <c r="K47" i="8"/>
  <c r="L47" i="8"/>
  <c r="M47" i="8"/>
  <c r="N47" i="8"/>
  <c r="J47" i="8"/>
  <c r="K44" i="8"/>
  <c r="L44" i="8"/>
  <c r="M44" i="8"/>
  <c r="N44" i="8"/>
  <c r="J44" i="8"/>
  <c r="F39" i="8"/>
  <c r="G39" i="8"/>
  <c r="H39" i="8"/>
  <c r="E39" i="8"/>
  <c r="E20" i="8"/>
  <c r="F36" i="8"/>
  <c r="G36" i="8"/>
  <c r="H36" i="8"/>
  <c r="I36" i="8"/>
  <c r="J13" i="8"/>
  <c r="J24" i="8" s="1"/>
  <c r="K34" i="8"/>
  <c r="L34" i="8"/>
  <c r="M34" i="8"/>
  <c r="N34" i="8"/>
  <c r="F27" i="8"/>
  <c r="E32" i="8"/>
  <c r="J34" i="8"/>
  <c r="F33" i="8"/>
  <c r="G33" i="8"/>
  <c r="G34" i="8" s="1"/>
  <c r="H33" i="8"/>
  <c r="I33" i="8"/>
  <c r="I34" i="8" s="1"/>
  <c r="E33" i="8"/>
  <c r="K11" i="8"/>
  <c r="L11" i="8"/>
  <c r="M11" i="8" s="1"/>
  <c r="N11" i="8" s="1"/>
  <c r="J12" i="8"/>
  <c r="K12" i="8" s="1"/>
  <c r="L12" i="8" s="1"/>
  <c r="M12" i="8" s="1"/>
  <c r="N12" i="8" s="1"/>
  <c r="F14" i="8"/>
  <c r="G14" i="8"/>
  <c r="H14" i="8"/>
  <c r="I14" i="8"/>
  <c r="F17" i="8"/>
  <c r="G17" i="8"/>
  <c r="H17" i="8"/>
  <c r="I17" i="8"/>
  <c r="F20" i="8"/>
  <c r="G20" i="8"/>
  <c r="H20" i="8"/>
  <c r="I20" i="8"/>
  <c r="F22" i="8"/>
  <c r="F32" i="8" s="1"/>
  <c r="G22" i="8"/>
  <c r="H22" i="8" s="1"/>
  <c r="E24" i="8"/>
  <c r="F24" i="8"/>
  <c r="G24" i="8"/>
  <c r="H24" i="8"/>
  <c r="I24" i="8"/>
  <c r="E27" i="8"/>
  <c r="G27" i="8"/>
  <c r="H27" i="8"/>
  <c r="I27" i="8"/>
  <c r="J27" i="8"/>
  <c r="H30" i="8"/>
  <c r="I30" i="8"/>
  <c r="E30" i="8"/>
  <c r="F30" i="8"/>
  <c r="G30" i="8"/>
  <c r="J51" i="8" s="1"/>
  <c r="K31" i="8"/>
  <c r="L31" i="8" s="1"/>
  <c r="M31" i="8" s="1"/>
  <c r="N31" i="8" s="1"/>
  <c r="N56" i="8" l="1"/>
  <c r="J54" i="8"/>
  <c r="N54" i="8"/>
  <c r="M54" i="8"/>
  <c r="G32" i="8"/>
  <c r="H34" i="8"/>
  <c r="F34" i="8"/>
  <c r="J33" i="8"/>
  <c r="J50" i="8" s="1"/>
  <c r="I37" i="8"/>
  <c r="H37" i="8"/>
  <c r="G37" i="8"/>
  <c r="F37" i="8"/>
  <c r="I40" i="8"/>
  <c r="H40" i="8"/>
  <c r="G40" i="8"/>
  <c r="F40" i="8"/>
  <c r="K13" i="8"/>
  <c r="E17" i="8"/>
  <c r="E36" i="8"/>
  <c r="I22" i="8"/>
  <c r="H32" i="8"/>
  <c r="K33" i="8" l="1"/>
  <c r="J48" i="8"/>
  <c r="J45" i="8"/>
  <c r="E37" i="8"/>
  <c r="E40" i="8"/>
  <c r="K16" i="8"/>
  <c r="K19" i="8" s="1"/>
  <c r="K24" i="8"/>
  <c r="K45" i="8"/>
  <c r="K48" i="8"/>
  <c r="L13" i="8"/>
  <c r="K37" i="8"/>
  <c r="K36" i="8" s="1"/>
  <c r="K27" i="8"/>
  <c r="J22" i="8"/>
  <c r="I32" i="8"/>
  <c r="D20" i="7"/>
  <c r="D14" i="7" l="1"/>
  <c r="D9" i="7"/>
  <c r="K50" i="8"/>
  <c r="L33" i="8"/>
  <c r="L16" i="8"/>
  <c r="L19" i="8" s="1"/>
  <c r="L24" i="8"/>
  <c r="K39" i="8"/>
  <c r="K42" i="8" s="1"/>
  <c r="K53" i="8" s="1"/>
  <c r="M13" i="8"/>
  <c r="L37" i="8"/>
  <c r="L36" i="8" s="1"/>
  <c r="L27" i="8"/>
  <c r="K22" i="8"/>
  <c r="J32" i="8"/>
  <c r="L50" i="8" l="1"/>
  <c r="L48" i="8"/>
  <c r="L45" i="8"/>
  <c r="M33" i="8"/>
  <c r="M16" i="8"/>
  <c r="M19" i="8" s="1"/>
  <c r="M24" i="8"/>
  <c r="L39" i="8"/>
  <c r="L42" i="8" s="1"/>
  <c r="L53" i="8" s="1"/>
  <c r="N13" i="8"/>
  <c r="M37" i="8"/>
  <c r="M36" i="8" s="1"/>
  <c r="M27" i="8"/>
  <c r="K32" i="8"/>
  <c r="L22" i="8"/>
  <c r="M50" i="8" l="1"/>
  <c r="M48" i="8"/>
  <c r="M45" i="8"/>
  <c r="N33" i="8"/>
  <c r="N16" i="8"/>
  <c r="N19" i="8" s="1"/>
  <c r="N24" i="8"/>
  <c r="M39" i="8"/>
  <c r="M42" i="8" s="1"/>
  <c r="M53" i="8" s="1"/>
  <c r="N37" i="8"/>
  <c r="N36" i="8" s="1"/>
  <c r="N27" i="8"/>
  <c r="L32" i="8"/>
  <c r="M22" i="8"/>
  <c r="N50" i="8" l="1"/>
  <c r="N45" i="8"/>
  <c r="N48" i="8"/>
  <c r="N39" i="8"/>
  <c r="N42" i="8" s="1"/>
  <c r="N53" i="8" s="1"/>
  <c r="M32" i="8"/>
  <c r="N22" i="8"/>
  <c r="N32" i="8" s="1"/>
  <c r="J16" i="8"/>
  <c r="J19" i="8" s="1"/>
  <c r="J37" i="8"/>
  <c r="J36" i="8" s="1"/>
  <c r="J39" i="8"/>
  <c r="J42" i="8" s="1"/>
  <c r="J5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94DFBBEB-3902-49B6-BE75-B8C7EF0A6481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<sst xmlns="http://schemas.openxmlformats.org/spreadsheetml/2006/main" count="76" uniqueCount="50">
  <si>
    <t>This sheet contains FactSet XML data for use with this workbook's =FDS codes.  Modifying the worksheet's contents may damage the workbook's =FDS functionality.</t>
  </si>
  <si>
    <t>NVIDIA DCF</t>
  </si>
  <si>
    <t>x</t>
  </si>
  <si>
    <t>Ticker</t>
  </si>
  <si>
    <t>NVDA</t>
  </si>
  <si>
    <t>Implied Share Price</t>
  </si>
  <si>
    <t>Date</t>
  </si>
  <si>
    <t>Today's Share Price</t>
  </si>
  <si>
    <t>Upside (Downside)</t>
  </si>
  <si>
    <t>Assumptions</t>
  </si>
  <si>
    <t>Valuation Assumptions</t>
  </si>
  <si>
    <t>WACC</t>
  </si>
  <si>
    <t>TGR</t>
  </si>
  <si>
    <t>Income Statement</t>
  </si>
  <si>
    <t>Revenue</t>
  </si>
  <si>
    <t>% growth</t>
  </si>
  <si>
    <t>EBIT</t>
  </si>
  <si>
    <t>% of sales</t>
  </si>
  <si>
    <t>Taxes</t>
  </si>
  <si>
    <t>% of EBIT</t>
  </si>
  <si>
    <t>Cash Flow Items</t>
  </si>
  <si>
    <t>D&amp;A</t>
  </si>
  <si>
    <t>CapEx</t>
  </si>
  <si>
    <t>Change in NWC</t>
  </si>
  <si>
    <t>DCF</t>
  </si>
  <si>
    <t>% margin</t>
  </si>
  <si>
    <t>EBIAT</t>
  </si>
  <si>
    <t>Unlevered FCF</t>
  </si>
  <si>
    <t>Present Value of FCF</t>
  </si>
  <si>
    <t>Terminal Value</t>
  </si>
  <si>
    <t>Present Value of Terminal Value</t>
  </si>
  <si>
    <t>Enterprise Value</t>
  </si>
  <si>
    <t>+ Cash</t>
  </si>
  <si>
    <t>- Debt</t>
  </si>
  <si>
    <t>Equity Value</t>
  </si>
  <si>
    <t>Shares</t>
  </si>
  <si>
    <t>Share Price</t>
  </si>
  <si>
    <t>WACC =  (% Equity x Cost of Equity) + (% Debt x Cost of Debt x (1 -Tax rate))</t>
  </si>
  <si>
    <t>Cost of Equity = Risk Free Rate + (Beta x (Expected Market Return - Risk Free Rate))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</si>
  <si>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</si>
  <si>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</si>
  <si>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</si>
  <si>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</si>
  <si>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</si>
  <si>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</si>
  <si>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</si>
  <si>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</si>
  <si>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</si>
  <si>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</si>
  <si>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weighted average cost of debt =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</si>
</sst>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[Red]\(&quot;$&quot;#,##0\)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  <numFmt numFmtId="171" formatCode="#,##0;\(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15" fillId="0" borderId="0" applyNumberForma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3" borderId="0" xfId="0" applyFill="1"/>
    <xf numFmtId="0" fontId="2" fillId="3" borderId="0" xfId="0" applyFont="1" applyFill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6" fillId="4" borderId="0" xfId="0" applyFont="1" applyFill="1"/>
    <xf numFmtId="0" fontId="7" fillId="4" borderId="0" xfId="0" applyFont="1" applyFill="1"/>
    <xf numFmtId="3" fontId="6" fillId="4" borderId="0" xfId="0" applyNumberFormat="1" applyFont="1" applyFill="1"/>
    <xf numFmtId="165" fontId="8" fillId="4" borderId="0" xfId="1" applyNumberFormat="1" applyFont="1" applyFill="1"/>
    <xf numFmtId="0" fontId="8" fillId="4" borderId="0" xfId="0" applyFont="1" applyFill="1"/>
    <xf numFmtId="0" fontId="9" fillId="0" borderId="0" xfId="0" applyFont="1"/>
    <xf numFmtId="3" fontId="0" fillId="0" borderId="0" xfId="0" applyNumberFormat="1"/>
    <xf numFmtId="3" fontId="10" fillId="4" borderId="0" xfId="0" applyNumberFormat="1" applyFont="1" applyFill="1"/>
    <xf numFmtId="3" fontId="11" fillId="0" borderId="0" xfId="0" applyNumberFormat="1" applyFont="1"/>
    <xf numFmtId="165" fontId="8" fillId="4" borderId="0" xfId="1" applyNumberFormat="1" applyFont="1" applyFill="1" applyBorder="1"/>
    <xf numFmtId="9" fontId="0" fillId="0" borderId="0" xfId="1" applyFont="1"/>
    <xf numFmtId="37" fontId="10" fillId="4" borderId="0" xfId="0" applyNumberFormat="1" applyFont="1" applyFill="1"/>
    <xf numFmtId="0" fontId="3" fillId="0" borderId="0" xfId="0" applyFont="1"/>
    <xf numFmtId="165" fontId="0" fillId="2" borderId="3" xfId="0" applyNumberFormat="1" applyFill="1" applyBorder="1" applyAlignment="1">
      <alignment horizontal="center"/>
    </xf>
    <xf numFmtId="3" fontId="6" fillId="0" borderId="0" xfId="0" applyNumberFormat="1" applyFont="1"/>
    <xf numFmtId="165" fontId="9" fillId="0" borderId="0" xfId="1" applyNumberFormat="1" applyFont="1"/>
    <xf numFmtId="165" fontId="9" fillId="0" borderId="0" xfId="1" applyNumberFormat="1" applyFont="1" applyFill="1" applyBorder="1"/>
    <xf numFmtId="165" fontId="6" fillId="4" borderId="0" xfId="1" applyNumberFormat="1" applyFont="1" applyFill="1"/>
    <xf numFmtId="164" fontId="6" fillId="4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13" fillId="4" borderId="0" xfId="0" applyNumberFormat="1" applyFont="1" applyFill="1"/>
    <xf numFmtId="37" fontId="11" fillId="0" borderId="0" xfId="0" applyNumberFormat="1" applyFont="1"/>
    <xf numFmtId="37" fontId="6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5" fontId="12" fillId="0" borderId="0" xfId="1" applyNumberFormat="1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0" fontId="2" fillId="3" borderId="8" xfId="0" applyFont="1" applyFill="1" applyBorder="1"/>
    <xf numFmtId="3" fontId="10" fillId="4" borderId="8" xfId="0" applyNumberFormat="1" applyFont="1" applyFill="1" applyBorder="1"/>
    <xf numFmtId="165" fontId="8" fillId="4" borderId="8" xfId="1" applyNumberFormat="1" applyFont="1" applyFill="1" applyBorder="1"/>
    <xf numFmtId="0" fontId="6" fillId="4" borderId="8" xfId="0" applyFont="1" applyFill="1" applyBorder="1"/>
    <xf numFmtId="3" fontId="6" fillId="4" borderId="8" xfId="0" applyNumberFormat="1" applyFont="1" applyFill="1" applyBorder="1"/>
    <xf numFmtId="37" fontId="10" fillId="4" borderId="8" xfId="0" applyNumberFormat="1" applyFont="1" applyFill="1" applyBorder="1"/>
    <xf numFmtId="0" fontId="0" fillId="0" borderId="8" xfId="0" applyBorder="1"/>
    <xf numFmtId="3" fontId="11" fillId="0" borderId="8" xfId="0" applyNumberFormat="1" applyFont="1" applyBorder="1"/>
    <xf numFmtId="165" fontId="9" fillId="0" borderId="8" xfId="1" applyNumberFormat="1" applyFont="1" applyBorder="1"/>
    <xf numFmtId="37" fontId="11" fillId="0" borderId="8" xfId="0" applyNumberFormat="1" applyFont="1" applyBorder="1"/>
    <xf numFmtId="166" fontId="9" fillId="0" borderId="8" xfId="1" applyNumberFormat="1" applyFont="1" applyBorder="1"/>
    <xf numFmtId="0" fontId="0" fillId="0" borderId="7" xfId="0" applyBorder="1"/>
    <xf numFmtId="37" fontId="6" fillId="0" borderId="1" xfId="0" applyNumberFormat="1" applyFont="1" applyBorder="1"/>
    <xf numFmtId="0" fontId="0" fillId="0" borderId="1" xfId="0" quotePrefix="1" applyBorder="1"/>
    <xf numFmtId="167" fontId="3" fillId="0" borderId="0" xfId="0" applyNumberFormat="1" applyFont="1"/>
    <xf numFmtId="37" fontId="7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37" fontId="3" fillId="0" borderId="5" xfId="0" applyNumberFormat="1" applyFont="1" applyBorder="1"/>
    <xf numFmtId="3" fontId="3" fillId="0" borderId="5" xfId="0" applyNumberFormat="1" applyFont="1" applyBorder="1"/>
    <xf numFmtId="165" fontId="0" fillId="2" borderId="3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3" xfId="0" applyFill="1" applyBorder="1" applyAlignment="1">
      <alignment horizontal="right"/>
    </xf>
    <xf numFmtId="0" fontId="3" fillId="5" borderId="4" xfId="0" applyFont="1" applyFill="1" applyBorder="1"/>
    <xf numFmtId="0" fontId="0" fillId="5" borderId="5" xfId="0" applyFill="1" applyBorder="1"/>
    <xf numFmtId="10" fontId="3" fillId="5" borderId="6" xfId="0" applyNumberFormat="1" applyFont="1" applyFill="1" applyBorder="1"/>
    <xf numFmtId="169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3" fontId="0" fillId="0" borderId="9" xfId="0" applyNumberFormat="1" applyBorder="1" applyAlignment="1">
      <alignment horizontal="right"/>
    </xf>
    <xf numFmtId="170" fontId="0" fillId="0" borderId="9" xfId="0" applyNumberFormat="1" applyBorder="1" applyAlignment="1">
      <alignment horizontal="right"/>
    </xf>
    <xf numFmtId="170" fontId="0" fillId="0" borderId="3" xfId="0" applyNumberFormat="1" applyBorder="1" applyAlignment="1">
      <alignment horizontal="right"/>
    </xf>
    <xf numFmtId="37" fontId="0" fillId="0" borderId="0" xfId="0" applyNumberFormat="1"/>
    <xf numFmtId="165" fontId="16" fillId="0" borderId="0" xfId="1" applyNumberFormat="1" applyFont="1"/>
    <xf numFmtId="165" fontId="16" fillId="0" borderId="0" xfId="1" applyNumberFormat="1" applyFont="1" applyFill="1" applyBorder="1"/>
    <xf numFmtId="0" fontId="17" fillId="0" borderId="0" xfId="0" applyFont="1"/>
    <xf numFmtId="0" fontId="17" fillId="0" borderId="8" xfId="0" applyFont="1" applyBorder="1"/>
    <xf numFmtId="3" fontId="17" fillId="0" borderId="0" xfId="0" applyNumberFormat="1" applyFont="1"/>
    <xf numFmtId="171" fontId="6" fillId="4" borderId="0" xfId="0" applyNumberFormat="1" applyFont="1" applyFill="1"/>
    <xf numFmtId="37" fontId="6" fillId="4" borderId="0" xfId="0" applyNumberFormat="1" applyFont="1" applyFill="1"/>
    <xf numFmtId="10" fontId="8" fillId="4" borderId="0" xfId="1" applyNumberFormat="1" applyFont="1" applyFill="1" applyBorder="1"/>
    <xf numFmtId="10" fontId="8" fillId="4" borderId="0" xfId="1" applyNumberFormat="1" applyFont="1" applyFill="1"/>
    <xf numFmtId="10" fontId="6" fillId="4" borderId="0" xfId="0" applyNumberFormat="1" applyFont="1" applyFill="1"/>
  </cellXfs>
  <cellStyles count="4">
    <cellStyle name="Hyperlink 2" xfId="3" xr:uid="{1692867E-D475-0248-A8B5-6AFE72F599CD}"/>
    <cellStyle name="Normal" xfId="0" builtinId="0"/>
    <cellStyle name="Normal 2" xfId="2" xr:uid="{A2D1003C-8034-459A-B554-420F0A7D1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idstonegrammar-my.sharepoint.com/Users/ben/Desktop/rareliquid/Excels/rareliquid%20-%20Advanced%20DCF%20-%20Part%202.xlsx" TargetMode="External"/><Relationship Id="rId1" Type="http://schemas.openxmlformats.org/officeDocument/2006/relationships/externalLinkPath" Target="https://maidstonegrammar-my.sharepoint.com/Users/ben/Desktop/rareliquid/Excels/rareliquid%20-%20Advanced%20DCF%20-%20P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fc5d5c8c4852779/Desktop/2024.08.13%20-%20Burger%20King%20LBO%20Stream%20-%20Part%202.xlsx" TargetMode="External"/><Relationship Id="rId1" Type="http://schemas.openxmlformats.org/officeDocument/2006/relationships/externalLinkPath" Target="https://d.docs.live.net/4fc5d5c8c4852779/Desktop/Models/DCF/Models/LBOs/2024.08.13%20-%20Burger%20King%20LBO%20Stream%20-%20Par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perating Model"/>
      <sheetName val="DCF&gt;&gt;&gt;"/>
      <sheetName val="Consolidated"/>
      <sheetName val="North America"/>
      <sheetName val="International"/>
      <sheetName val="AWS"/>
      <sheetName val="WACC"/>
      <sheetName val="Shares"/>
      <sheetName val="FS&gt;&gt;&gt;"/>
      <sheetName val="Segments"/>
      <sheetName val="IS"/>
      <sheetName val="CFS"/>
      <sheetName val="CapEx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LBO"/>
      <sheetName val="Shares"/>
    </sheetNames>
    <sheetDataSet>
      <sheetData sheetId="0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BC268-C7FB-B94E-B2FB-D48B570B343D}">
  <dimension ref="A2:AD63"/>
  <sheetViews>
    <sheetView showGridLines="0" tabSelected="1" zoomScaleNormal="100" workbookViewId="0">
      <selection activeCell="K6" sqref="K6"/>
    </sheetView>
  </sheetViews>
  <sheetFormatPr defaultColWidth="9.7109375" defaultRowHeight="15" outlineLevelRow="1" outlineLevelCol="1" x14ac:dyDescent="0.25"/>
  <cols>
    <col min="1" max="1" width="3.7109375" customWidth="1"/>
    <col min="3" max="3" width="10.7109375" bestFit="1" customWidth="1"/>
    <col min="5" max="10" width="9.7109375" customWidth="1" outlineLevel="1"/>
    <col min="11" max="18" width="9.7109375" customWidth="1"/>
    <col min="22" max="26" width="10.42578125" bestFit="1" customWidth="1"/>
    <col min="27" max="27" width="12" bestFit="1" customWidth="1"/>
    <col min="30" max="30" width="10.28515625" bestFit="1" customWidth="1"/>
  </cols>
  <sheetData>
    <row r="2" spans="1:18" s="1" customFormat="1" ht="21" x14ac:dyDescent="0.35">
      <c r="B2" s="2" t="s">
        <v>1</v>
      </c>
    </row>
    <row r="4" spans="1:18" x14ac:dyDescent="0.25">
      <c r="A4" t="s">
        <v>2</v>
      </c>
      <c r="B4" t="s">
        <v>3</v>
      </c>
      <c r="C4" s="5" t="s">
        <v>4</v>
      </c>
      <c r="E4" t="s">
        <v>5</v>
      </c>
      <c r="G4" s="66">
        <f>N63</f>
        <v>247.2226625390563</v>
      </c>
      <c r="M4" s="34"/>
      <c r="R4" s="35"/>
    </row>
    <row r="5" spans="1:18" x14ac:dyDescent="0.25">
      <c r="B5" t="s">
        <v>6</v>
      </c>
      <c r="C5" s="6">
        <v>46301</v>
      </c>
      <c r="E5" t="s">
        <v>7</v>
      </c>
      <c r="G5" s="66">
        <v>237.89</v>
      </c>
      <c r="I5" t="s">
        <v>8</v>
      </c>
      <c r="K5" s="67">
        <f>G4/G5-1</f>
        <v>3.9230999785851983E-2</v>
      </c>
      <c r="M5" s="34"/>
    </row>
    <row r="7" spans="1:18" x14ac:dyDescent="0.25">
      <c r="A7" t="s">
        <v>2</v>
      </c>
      <c r="B7" s="4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x14ac:dyDescent="0.25">
      <c r="B8" s="19" t="s">
        <v>10</v>
      </c>
    </row>
    <row r="9" spans="1:18" x14ac:dyDescent="0.25">
      <c r="B9" t="s">
        <v>11</v>
      </c>
      <c r="D9" s="20">
        <f>WACC!D22</f>
        <v>0.14101183968462552</v>
      </c>
    </row>
    <row r="10" spans="1:18" x14ac:dyDescent="0.25">
      <c r="B10" t="s">
        <v>12</v>
      </c>
      <c r="D10" s="20">
        <v>0.03</v>
      </c>
    </row>
    <row r="11" spans="1:18" outlineLevel="1" x14ac:dyDescent="0.25">
      <c r="J11">
        <v>1</v>
      </c>
      <c r="K11">
        <f t="shared" ref="K11:N12" si="0">J11+1</f>
        <v>2</v>
      </c>
      <c r="L11">
        <f t="shared" si="0"/>
        <v>3</v>
      </c>
      <c r="M11">
        <f t="shared" si="0"/>
        <v>4</v>
      </c>
      <c r="N11">
        <f t="shared" si="0"/>
        <v>5</v>
      </c>
    </row>
    <row r="12" spans="1:18" outlineLevel="1" x14ac:dyDescent="0.25">
      <c r="A12" t="s">
        <v>2</v>
      </c>
      <c r="B12" s="4" t="s">
        <v>13</v>
      </c>
      <c r="C12" s="3"/>
      <c r="D12" s="3"/>
      <c r="E12" s="4">
        <v>2022</v>
      </c>
      <c r="F12" s="4">
        <v>2023</v>
      </c>
      <c r="G12" s="4">
        <v>2024</v>
      </c>
      <c r="H12" s="4">
        <v>2025</v>
      </c>
      <c r="I12" s="39">
        <v>2026</v>
      </c>
      <c r="J12" s="4">
        <f>I12+1</f>
        <v>2027</v>
      </c>
      <c r="K12" s="4">
        <f t="shared" si="0"/>
        <v>2028</v>
      </c>
      <c r="L12" s="4">
        <f t="shared" si="0"/>
        <v>2029</v>
      </c>
      <c r="M12" s="4">
        <f t="shared" si="0"/>
        <v>2030</v>
      </c>
      <c r="N12" s="4">
        <f t="shared" si="0"/>
        <v>2031</v>
      </c>
    </row>
    <row r="13" spans="1:18" s="7" customFormat="1" outlineLevel="1" x14ac:dyDescent="0.25">
      <c r="B13" s="7" t="s">
        <v>14</v>
      </c>
      <c r="E13" s="14">
        <v>26914</v>
      </c>
      <c r="F13" s="14">
        <v>26974</v>
      </c>
      <c r="G13" s="14">
        <v>60922</v>
      </c>
      <c r="H13" s="14">
        <v>130497</v>
      </c>
      <c r="I13" s="40">
        <v>215938</v>
      </c>
      <c r="J13" s="14">
        <f>I13*(1+J14)</f>
        <v>326714.19399999996</v>
      </c>
      <c r="K13" s="14">
        <f>J13*(1+K14)</f>
        <v>505426.85811799997</v>
      </c>
      <c r="L13" s="14">
        <f>K13*(1+L14)</f>
        <v>836481.45018528996</v>
      </c>
      <c r="M13" s="14">
        <f>L13*(1+M14)</f>
        <v>1308256.9880897936</v>
      </c>
      <c r="N13" s="14">
        <f>M13*(1+N14)</f>
        <v>1852491.8951351477</v>
      </c>
    </row>
    <row r="14" spans="1:18" s="7" customFormat="1" outlineLevel="1" x14ac:dyDescent="0.25">
      <c r="B14" s="11" t="s">
        <v>15</v>
      </c>
      <c r="E14" s="10"/>
      <c r="F14" s="10">
        <f>F13/E13-1</f>
        <v>2.2293230289069932E-3</v>
      </c>
      <c r="G14" s="10">
        <f>G13/F13-1</f>
        <v>1.2585452658115224</v>
      </c>
      <c r="H14" s="10">
        <f>H13/G13-1</f>
        <v>1.1420340763599355</v>
      </c>
      <c r="I14" s="41">
        <f>I13/H13-1</f>
        <v>0.65473535790094783</v>
      </c>
      <c r="J14" s="16">
        <v>0.51300000000000001</v>
      </c>
      <c r="K14" s="10">
        <v>0.54700000000000004</v>
      </c>
      <c r="L14" s="10">
        <v>0.65500000000000003</v>
      </c>
      <c r="M14" s="10">
        <v>0.56399999999999995</v>
      </c>
      <c r="N14" s="10">
        <v>0.41599999999999998</v>
      </c>
    </row>
    <row r="15" spans="1:18" s="7" customFormat="1" outlineLevel="1" x14ac:dyDescent="0.25">
      <c r="B15" s="8"/>
      <c r="I15" s="42"/>
    </row>
    <row r="16" spans="1:18" s="7" customFormat="1" outlineLevel="1" x14ac:dyDescent="0.25">
      <c r="B16" s="7" t="s">
        <v>16</v>
      </c>
      <c r="E16" s="71">
        <v>-10041</v>
      </c>
      <c r="F16" s="71">
        <v>-4224</v>
      </c>
      <c r="G16" s="14">
        <v>32972</v>
      </c>
      <c r="H16" s="14">
        <v>81453</v>
      </c>
      <c r="I16" s="13">
        <v>130387</v>
      </c>
      <c r="J16" s="14">
        <f>J17*J13</f>
        <v>204196.37124999997</v>
      </c>
      <c r="K16" s="14">
        <f t="shared" ref="K16:N16" si="1">K17*K13</f>
        <v>277984.77196490002</v>
      </c>
      <c r="L16" s="14">
        <f t="shared" si="1"/>
        <v>460064.79760190949</v>
      </c>
      <c r="M16" s="14">
        <f t="shared" si="1"/>
        <v>719541.34344938654</v>
      </c>
      <c r="N16" s="14">
        <f t="shared" si="1"/>
        <v>1018870.5423243314</v>
      </c>
    </row>
    <row r="17" spans="1:15" s="7" customFormat="1" outlineLevel="1" x14ac:dyDescent="0.25">
      <c r="B17" s="11" t="s">
        <v>17</v>
      </c>
      <c r="E17" s="10">
        <f>E16/E13</f>
        <v>-0.37307720888756779</v>
      </c>
      <c r="F17" s="10">
        <f>F16/F13</f>
        <v>-0.1565952398606065</v>
      </c>
      <c r="G17" s="10">
        <f>G16/G13</f>
        <v>0.54121663766783756</v>
      </c>
      <c r="H17" s="10">
        <f>H16/H13</f>
        <v>0.62417526839697468</v>
      </c>
      <c r="I17" s="41">
        <f>I16/I13</f>
        <v>0.60381683631412719</v>
      </c>
      <c r="J17" s="16">
        <v>0.625</v>
      </c>
      <c r="K17" s="10">
        <v>0.55000000000000004</v>
      </c>
      <c r="L17" s="10">
        <v>0.55000000000000004</v>
      </c>
      <c r="M17" s="10">
        <v>0.55000000000000004</v>
      </c>
      <c r="N17" s="10">
        <v>0.55000000000000004</v>
      </c>
    </row>
    <row r="18" spans="1:15" s="7" customFormat="1" outlineLevel="1" x14ac:dyDescent="0.25">
      <c r="I18" s="42"/>
    </row>
    <row r="19" spans="1:15" s="7" customFormat="1" outlineLevel="1" x14ac:dyDescent="0.25">
      <c r="B19" s="7" t="s">
        <v>18</v>
      </c>
      <c r="E19" s="14">
        <v>189</v>
      </c>
      <c r="F19" s="18">
        <v>-187</v>
      </c>
      <c r="G19" s="14">
        <v>4058</v>
      </c>
      <c r="H19" s="14">
        <v>11146</v>
      </c>
      <c r="I19" s="40">
        <v>21383</v>
      </c>
      <c r="J19" s="14">
        <f>J20*J16</f>
        <v>35530.168597499993</v>
      </c>
      <c r="K19" s="14">
        <f t="shared" ref="K19:N19" si="2">K20*K16</f>
        <v>51149.198041541604</v>
      </c>
      <c r="L19" s="14">
        <f t="shared" si="2"/>
        <v>87412.311544362805</v>
      </c>
      <c r="M19" s="14">
        <f t="shared" si="2"/>
        <v>143908.26868987732</v>
      </c>
      <c r="N19" s="14">
        <f t="shared" si="2"/>
        <v>213962.81388810958</v>
      </c>
    </row>
    <row r="20" spans="1:15" s="7" customFormat="1" outlineLevel="1" x14ac:dyDescent="0.25">
      <c r="B20" s="11" t="s">
        <v>19</v>
      </c>
      <c r="E20" s="10">
        <f>(E19/E16)</f>
        <v>-1.8822826411711981E-2</v>
      </c>
      <c r="F20" s="10">
        <f>F19/F16</f>
        <v>4.4270833333333336E-2</v>
      </c>
      <c r="G20" s="10">
        <f>G19/G16</f>
        <v>0.12307412349872619</v>
      </c>
      <c r="H20" s="10">
        <f>H19/H16</f>
        <v>0.13683964985942815</v>
      </c>
      <c r="I20" s="41">
        <f>I19/I16</f>
        <v>0.16399641068511431</v>
      </c>
      <c r="J20" s="16">
        <v>0.17399999999999999</v>
      </c>
      <c r="K20" s="10">
        <v>0.184</v>
      </c>
      <c r="L20" s="10">
        <v>0.19</v>
      </c>
      <c r="M20" s="10">
        <v>0.2</v>
      </c>
      <c r="N20" s="10">
        <v>0.21</v>
      </c>
    </row>
    <row r="21" spans="1:15" s="7" customFormat="1" outlineLevel="1" x14ac:dyDescent="0.25">
      <c r="I21" s="42"/>
    </row>
    <row r="22" spans="1:15" outlineLevel="1" x14ac:dyDescent="0.25">
      <c r="A22" t="s">
        <v>2</v>
      </c>
      <c r="B22" s="4" t="s">
        <v>20</v>
      </c>
      <c r="C22" s="3"/>
      <c r="D22" s="3"/>
      <c r="E22" s="4">
        <v>2022</v>
      </c>
      <c r="F22" s="4">
        <f t="shared" ref="F22:N22" si="3">E22+1</f>
        <v>2023</v>
      </c>
      <c r="G22" s="4">
        <f t="shared" si="3"/>
        <v>2024</v>
      </c>
      <c r="H22" s="4">
        <f t="shared" si="3"/>
        <v>2025</v>
      </c>
      <c r="I22" s="39">
        <f t="shared" si="3"/>
        <v>2026</v>
      </c>
      <c r="J22" s="4">
        <f t="shared" si="3"/>
        <v>2027</v>
      </c>
      <c r="K22" s="4">
        <f t="shared" si="3"/>
        <v>2028</v>
      </c>
      <c r="L22" s="4">
        <f t="shared" si="3"/>
        <v>2029</v>
      </c>
      <c r="M22" s="4">
        <f t="shared" si="3"/>
        <v>2030</v>
      </c>
      <c r="N22" s="4">
        <f t="shared" si="3"/>
        <v>2031</v>
      </c>
    </row>
    <row r="23" spans="1:15" s="7" customFormat="1" outlineLevel="1" x14ac:dyDescent="0.25">
      <c r="B23" s="7" t="s">
        <v>21</v>
      </c>
      <c r="E23" s="14">
        <v>1174</v>
      </c>
      <c r="F23" s="14">
        <v>1544</v>
      </c>
      <c r="G23" s="14">
        <v>1508</v>
      </c>
      <c r="H23" s="14">
        <v>1864</v>
      </c>
      <c r="I23" s="40">
        <v>2843</v>
      </c>
      <c r="J23" s="29">
        <v>3570</v>
      </c>
      <c r="K23" s="29">
        <v>5967</v>
      </c>
      <c r="L23" s="29">
        <v>11000</v>
      </c>
      <c r="M23" s="29">
        <v>15000</v>
      </c>
      <c r="N23" s="29">
        <v>22000</v>
      </c>
    </row>
    <row r="24" spans="1:15" s="7" customFormat="1" outlineLevel="1" x14ac:dyDescent="0.25">
      <c r="B24" s="11" t="s">
        <v>17</v>
      </c>
      <c r="E24" s="10">
        <f>E23/E13</f>
        <v>4.362042059894479E-2</v>
      </c>
      <c r="F24" s="10">
        <f>F23/F13</f>
        <v>5.7240305479350488E-2</v>
      </c>
      <c r="G24" s="10">
        <f>G23/G13</f>
        <v>2.4752962804898065E-2</v>
      </c>
      <c r="H24" s="10">
        <f>H23/H13</f>
        <v>1.4283853268657517E-2</v>
      </c>
      <c r="I24" s="41">
        <f>I23/I13</f>
        <v>1.3165816113884541E-2</v>
      </c>
      <c r="J24" s="16">
        <f>(J23/J13)</f>
        <v>1.0926981641942378E-2</v>
      </c>
      <c r="K24" s="10">
        <f>(K23/K13)</f>
        <v>1.1805862518305088E-2</v>
      </c>
      <c r="L24" s="10">
        <f>(L23/L13)</f>
        <v>1.3150321501526875E-2</v>
      </c>
      <c r="M24" s="10">
        <f>(M23/M13)</f>
        <v>1.1465637207794879E-2</v>
      </c>
      <c r="N24" s="10">
        <f>(N23/N13)</f>
        <v>1.1875895412970214E-2</v>
      </c>
    </row>
    <row r="25" spans="1:15" s="7" customFormat="1" outlineLevel="1" x14ac:dyDescent="0.25">
      <c r="E25" s="9"/>
      <c r="F25" s="9"/>
      <c r="G25" s="9"/>
      <c r="H25" s="9"/>
      <c r="I25" s="43"/>
      <c r="J25" s="9"/>
      <c r="K25" s="9"/>
      <c r="L25" s="9"/>
      <c r="M25" s="9"/>
      <c r="N25" s="9"/>
    </row>
    <row r="26" spans="1:15" s="7" customFormat="1" outlineLevel="1" x14ac:dyDescent="0.25">
      <c r="B26" s="7" t="s">
        <v>22</v>
      </c>
      <c r="E26" s="14">
        <v>976</v>
      </c>
      <c r="F26" s="14">
        <v>1833</v>
      </c>
      <c r="G26" s="14">
        <v>1069</v>
      </c>
      <c r="H26" s="14">
        <v>3236</v>
      </c>
      <c r="I26" s="40">
        <v>6042</v>
      </c>
      <c r="J26" s="29">
        <v>11500</v>
      </c>
      <c r="K26" s="29">
        <v>20500</v>
      </c>
      <c r="L26" s="29">
        <v>27300</v>
      </c>
      <c r="M26" s="29">
        <v>33000</v>
      </c>
      <c r="N26" s="29">
        <v>38000</v>
      </c>
    </row>
    <row r="27" spans="1:15" s="7" customFormat="1" outlineLevel="1" x14ac:dyDescent="0.25">
      <c r="B27" s="11" t="s">
        <v>17</v>
      </c>
      <c r="E27" s="10">
        <f t="shared" ref="E27:N27" si="4">E26/E13</f>
        <v>3.6263654603552055E-2</v>
      </c>
      <c r="F27" s="10">
        <f t="shared" si="4"/>
        <v>6.7954326388373995E-2</v>
      </c>
      <c r="G27" s="10">
        <f t="shared" si="4"/>
        <v>1.7547027346442992E-2</v>
      </c>
      <c r="H27" s="10">
        <f t="shared" si="4"/>
        <v>2.4797504923484832E-2</v>
      </c>
      <c r="I27" s="41">
        <f t="shared" si="4"/>
        <v>2.7980253591308617E-2</v>
      </c>
      <c r="J27" s="16">
        <f t="shared" si="4"/>
        <v>3.5198960471242956E-2</v>
      </c>
      <c r="K27" s="10">
        <f t="shared" si="4"/>
        <v>4.0559775703913913E-2</v>
      </c>
      <c r="L27" s="10">
        <f t="shared" si="4"/>
        <v>3.2636706999243974E-2</v>
      </c>
      <c r="M27" s="10">
        <f t="shared" si="4"/>
        <v>2.5224401857148734E-2</v>
      </c>
      <c r="N27" s="10">
        <f t="shared" si="4"/>
        <v>2.0512910258766733E-2</v>
      </c>
    </row>
    <row r="28" spans="1:15" s="7" customFormat="1" outlineLevel="1" x14ac:dyDescent="0.25">
      <c r="E28" s="9"/>
      <c r="F28" s="9"/>
      <c r="G28" s="9"/>
      <c r="H28" s="9"/>
      <c r="I28" s="43"/>
      <c r="J28" s="9"/>
      <c r="K28" s="9"/>
      <c r="L28" s="9"/>
      <c r="M28" s="9"/>
      <c r="N28" s="9"/>
    </row>
    <row r="29" spans="1:15" s="7" customFormat="1" outlineLevel="1" x14ac:dyDescent="0.25">
      <c r="B29" s="7" t="s">
        <v>23</v>
      </c>
      <c r="E29" s="18">
        <v>-3363</v>
      </c>
      <c r="F29" s="18">
        <v>-2207</v>
      </c>
      <c r="G29" s="18">
        <v>-3722</v>
      </c>
      <c r="H29" s="18">
        <v>-9383</v>
      </c>
      <c r="I29" s="44">
        <v>-15949</v>
      </c>
      <c r="J29" s="78"/>
      <c r="K29" s="77"/>
      <c r="L29" s="77"/>
      <c r="M29" s="77"/>
      <c r="N29" s="77"/>
      <c r="O29" s="77"/>
    </row>
    <row r="30" spans="1:15" s="7" customFormat="1" outlineLevel="1" x14ac:dyDescent="0.25">
      <c r="B30" s="11" t="s">
        <v>17</v>
      </c>
      <c r="E30" s="37">
        <f>E29/E13</f>
        <v>-0.12495355577023111</v>
      </c>
      <c r="F30" s="37">
        <f>F29/F13</f>
        <v>-8.181952991769853E-2</v>
      </c>
      <c r="G30" s="37">
        <f>G29/G13</f>
        <v>-6.1094514296969896E-2</v>
      </c>
      <c r="H30" s="37">
        <f>H29/H13</f>
        <v>-7.1902036062131691E-2</v>
      </c>
      <c r="I30" s="49">
        <f>I29/I13</f>
        <v>-7.3859163278348419E-2</v>
      </c>
      <c r="J30" s="79"/>
      <c r="K30" s="80"/>
      <c r="L30" s="80"/>
      <c r="M30" s="80"/>
      <c r="N30" s="80"/>
      <c r="O30" s="81"/>
    </row>
    <row r="31" spans="1:15" x14ac:dyDescent="0.25">
      <c r="I31" s="45"/>
      <c r="J31">
        <v>1</v>
      </c>
      <c r="K31">
        <f>J31+1</f>
        <v>2</v>
      </c>
      <c r="L31">
        <f>K31+1</f>
        <v>3</v>
      </c>
      <c r="M31">
        <f>L31+1</f>
        <v>4</v>
      </c>
      <c r="N31">
        <f>M31+1</f>
        <v>5</v>
      </c>
    </row>
    <row r="32" spans="1:15" x14ac:dyDescent="0.25">
      <c r="A32" t="s">
        <v>2</v>
      </c>
      <c r="B32" s="4" t="s">
        <v>24</v>
      </c>
      <c r="C32" s="3"/>
      <c r="D32" s="3"/>
      <c r="E32" s="4">
        <f t="shared" ref="E32:N32" si="5">E22</f>
        <v>2022</v>
      </c>
      <c r="F32" s="4">
        <f t="shared" si="5"/>
        <v>2023</v>
      </c>
      <c r="G32" s="4">
        <f t="shared" si="5"/>
        <v>2024</v>
      </c>
      <c r="H32" s="4">
        <f t="shared" si="5"/>
        <v>2025</v>
      </c>
      <c r="I32" s="39">
        <f t="shared" si="5"/>
        <v>2026</v>
      </c>
      <c r="J32" s="4">
        <f t="shared" si="5"/>
        <v>2027</v>
      </c>
      <c r="K32" s="4">
        <f t="shared" si="5"/>
        <v>2028</v>
      </c>
      <c r="L32" s="4">
        <f t="shared" si="5"/>
        <v>2029</v>
      </c>
      <c r="M32" s="4">
        <f t="shared" si="5"/>
        <v>2030</v>
      </c>
      <c r="N32" s="4">
        <f t="shared" si="5"/>
        <v>2031</v>
      </c>
    </row>
    <row r="33" spans="2:30" x14ac:dyDescent="0.25">
      <c r="B33" t="s">
        <v>14</v>
      </c>
      <c r="E33" s="15">
        <f>E13</f>
        <v>26914</v>
      </c>
      <c r="F33" s="15">
        <f>F13</f>
        <v>26974</v>
      </c>
      <c r="G33" s="15">
        <f>G13</f>
        <v>60922</v>
      </c>
      <c r="H33" s="15">
        <f>H13</f>
        <v>130497</v>
      </c>
      <c r="I33" s="15">
        <f>I13</f>
        <v>215938</v>
      </c>
      <c r="J33" s="21">
        <f>I33*(1+J34)</f>
        <v>326714.19399999996</v>
      </c>
      <c r="K33" s="21">
        <f>J33*(1+K34)</f>
        <v>505426.85811799997</v>
      </c>
      <c r="L33" s="21">
        <f>K33*(1+L34)</f>
        <v>836481.45018528996</v>
      </c>
      <c r="M33" s="21">
        <f>L33*(1+M34)</f>
        <v>1308256.9880897936</v>
      </c>
      <c r="N33" s="21">
        <f>M33*(1+N34)</f>
        <v>1852491.8951351477</v>
      </c>
    </row>
    <row r="34" spans="2:30" x14ac:dyDescent="0.25">
      <c r="B34" s="12" t="s">
        <v>15</v>
      </c>
      <c r="E34" s="72"/>
      <c r="F34" s="72">
        <f>F33/E33-1</f>
        <v>2.2293230289069932E-3</v>
      </c>
      <c r="G34" s="72">
        <f>G33/F33-1</f>
        <v>1.2585452658115224</v>
      </c>
      <c r="H34" s="72">
        <f>H33/G33-1</f>
        <v>1.1420340763599355</v>
      </c>
      <c r="I34" s="72">
        <f>I33/H33-1</f>
        <v>0.65473535790094783</v>
      </c>
      <c r="J34" s="73">
        <f>J14</f>
        <v>0.51300000000000001</v>
      </c>
      <c r="K34" s="73">
        <f>K14</f>
        <v>0.54700000000000004</v>
      </c>
      <c r="L34" s="73">
        <f>L14</f>
        <v>0.65500000000000003</v>
      </c>
      <c r="M34" s="73">
        <f>M14</f>
        <v>0.56399999999999995</v>
      </c>
      <c r="N34" s="73">
        <f>N14</f>
        <v>0.41599999999999998</v>
      </c>
      <c r="O34" s="74"/>
      <c r="U34" s="7"/>
      <c r="Y34" s="27"/>
      <c r="Z34" s="27"/>
      <c r="AA34" s="27"/>
    </row>
    <row r="35" spans="2:30" x14ac:dyDescent="0.25">
      <c r="E35" s="74"/>
      <c r="F35" s="74"/>
      <c r="G35" s="74"/>
      <c r="H35" s="74"/>
      <c r="I35" s="75"/>
      <c r="J35" s="74"/>
      <c r="K35" s="74"/>
      <c r="L35" s="74"/>
      <c r="M35" s="74"/>
      <c r="N35" s="74"/>
      <c r="O35" s="74"/>
      <c r="Y35" s="27"/>
      <c r="Z35" s="27"/>
      <c r="AA35" s="27"/>
    </row>
    <row r="36" spans="2:30" x14ac:dyDescent="0.25">
      <c r="B36" t="s">
        <v>16</v>
      </c>
      <c r="E36" s="76">
        <f>E16</f>
        <v>-10041</v>
      </c>
      <c r="F36" s="76">
        <f>F16</f>
        <v>-4224</v>
      </c>
      <c r="G36" s="76">
        <f>G16</f>
        <v>32972</v>
      </c>
      <c r="H36" s="76">
        <f>H16</f>
        <v>81453</v>
      </c>
      <c r="I36" s="76">
        <f>I16</f>
        <v>130387</v>
      </c>
      <c r="J36" s="76">
        <f>J33*J37</f>
        <v>204196.37124999997</v>
      </c>
      <c r="K36" s="76">
        <f t="shared" ref="K36:N36" si="6">K33*K37</f>
        <v>277984.77196490002</v>
      </c>
      <c r="L36" s="76">
        <f t="shared" si="6"/>
        <v>460064.79760190949</v>
      </c>
      <c r="M36" s="76">
        <f t="shared" si="6"/>
        <v>719541.34344938654</v>
      </c>
      <c r="N36" s="76">
        <f t="shared" si="6"/>
        <v>1018870.5423243314</v>
      </c>
      <c r="O36" s="74"/>
      <c r="V36" s="13"/>
      <c r="W36" s="13"/>
      <c r="X36" s="13"/>
      <c r="Y36" s="13"/>
      <c r="Z36" s="13"/>
      <c r="AA36" s="13"/>
    </row>
    <row r="37" spans="2:30" x14ac:dyDescent="0.25">
      <c r="B37" s="12" t="s">
        <v>25</v>
      </c>
      <c r="E37" s="72">
        <f>E36/E33</f>
        <v>-0.37307720888756779</v>
      </c>
      <c r="F37" s="72">
        <f>F36/F33</f>
        <v>-0.1565952398606065</v>
      </c>
      <c r="G37" s="72">
        <f>G36/G33</f>
        <v>0.54121663766783756</v>
      </c>
      <c r="H37" s="72">
        <f>H36/H33</f>
        <v>0.62417526839697468</v>
      </c>
      <c r="I37" s="72">
        <f>I36/I33</f>
        <v>0.60381683631412719</v>
      </c>
      <c r="J37" s="73">
        <f>J17</f>
        <v>0.625</v>
      </c>
      <c r="K37" s="73">
        <f t="shared" ref="K37:N37" si="7">K17</f>
        <v>0.55000000000000004</v>
      </c>
      <c r="L37" s="73">
        <f t="shared" si="7"/>
        <v>0.55000000000000004</v>
      </c>
      <c r="M37" s="73">
        <f t="shared" si="7"/>
        <v>0.55000000000000004</v>
      </c>
      <c r="N37" s="73">
        <f t="shared" si="7"/>
        <v>0.55000000000000004</v>
      </c>
      <c r="O37" s="74"/>
      <c r="V37" s="28"/>
      <c r="W37" s="28"/>
      <c r="X37" s="28"/>
      <c r="Y37" s="28"/>
      <c r="Z37" s="28"/>
      <c r="AA37" s="28"/>
    </row>
    <row r="38" spans="2:30" x14ac:dyDescent="0.25">
      <c r="I38" s="45"/>
      <c r="K38" s="26"/>
      <c r="L38" s="26"/>
      <c r="U38" s="7"/>
      <c r="Y38" s="9"/>
      <c r="Z38" s="9"/>
      <c r="AA38" s="9"/>
      <c r="AB38" s="7"/>
      <c r="AC38" s="7"/>
      <c r="AD38" s="7"/>
    </row>
    <row r="39" spans="2:30" x14ac:dyDescent="0.25">
      <c r="B39" t="s">
        <v>18</v>
      </c>
      <c r="E39" s="15">
        <f>E19</f>
        <v>189</v>
      </c>
      <c r="F39" s="15">
        <f t="shared" ref="F39:H39" si="8">F19</f>
        <v>-187</v>
      </c>
      <c r="G39" s="15">
        <f t="shared" si="8"/>
        <v>4058</v>
      </c>
      <c r="H39" s="15">
        <f t="shared" si="8"/>
        <v>11146</v>
      </c>
      <c r="I39" s="15">
        <f>I19</f>
        <v>21383</v>
      </c>
      <c r="J39" s="21">
        <f>J36*J40</f>
        <v>34713.3831125</v>
      </c>
      <c r="K39" s="21">
        <f t="shared" ref="K39:N39" si="9">K36*K40</f>
        <v>48647.335093857502</v>
      </c>
      <c r="L39" s="21">
        <f t="shared" si="9"/>
        <v>85111.987556353255</v>
      </c>
      <c r="M39" s="21">
        <f t="shared" si="9"/>
        <v>140310.56197263038</v>
      </c>
      <c r="N39" s="21">
        <f t="shared" si="9"/>
        <v>208868.46117648791</v>
      </c>
      <c r="U39" s="7"/>
      <c r="Y39" s="9"/>
      <c r="Z39" s="9"/>
      <c r="AA39" s="9"/>
      <c r="AB39" s="7"/>
      <c r="AC39" s="7"/>
      <c r="AD39" s="7"/>
    </row>
    <row r="40" spans="2:30" x14ac:dyDescent="0.25">
      <c r="B40" s="12" t="s">
        <v>19</v>
      </c>
      <c r="E40" s="22">
        <f>E39/E36</f>
        <v>-1.8822826411711981E-2</v>
      </c>
      <c r="F40" s="22">
        <f t="shared" ref="F40:I40" si="10">F39/F36</f>
        <v>4.4270833333333336E-2</v>
      </c>
      <c r="G40" s="22">
        <f t="shared" si="10"/>
        <v>0.12307412349872619</v>
      </c>
      <c r="H40" s="22">
        <f t="shared" si="10"/>
        <v>0.13683964985942815</v>
      </c>
      <c r="I40" s="22">
        <f t="shared" si="10"/>
        <v>0.16399641068511431</v>
      </c>
      <c r="J40" s="36">
        <v>0.17</v>
      </c>
      <c r="K40" s="36">
        <v>0.17499999999999999</v>
      </c>
      <c r="L40" s="36">
        <v>0.185</v>
      </c>
      <c r="M40" s="36">
        <v>0.19500000000000001</v>
      </c>
      <c r="N40" s="36">
        <v>0.20499999999999999</v>
      </c>
      <c r="U40" s="7"/>
      <c r="Y40" s="24"/>
      <c r="Z40" s="24"/>
      <c r="AA40" s="24"/>
      <c r="AB40" s="7"/>
      <c r="AC40" s="7"/>
      <c r="AD40" s="7"/>
    </row>
    <row r="41" spans="2:30" x14ac:dyDescent="0.25">
      <c r="I41" s="45"/>
      <c r="U41" s="7"/>
      <c r="Y41" s="25"/>
      <c r="Z41" s="25"/>
      <c r="AA41" s="25"/>
      <c r="AB41" s="25"/>
      <c r="AC41" s="25"/>
      <c r="AD41" s="25"/>
    </row>
    <row r="42" spans="2:30" x14ac:dyDescent="0.25">
      <c r="B42" s="55" t="s">
        <v>26</v>
      </c>
      <c r="C42" s="56"/>
      <c r="D42" s="56"/>
      <c r="E42" s="56"/>
      <c r="F42" s="56"/>
      <c r="G42" s="56"/>
      <c r="H42" s="56"/>
      <c r="I42" s="57"/>
      <c r="J42" s="59">
        <f>J36-J39</f>
        <v>169482.98813749995</v>
      </c>
      <c r="K42" s="59">
        <f t="shared" ref="K42:N42" si="11">K36-K39</f>
        <v>229337.43687104253</v>
      </c>
      <c r="L42" s="59">
        <f t="shared" si="11"/>
        <v>374952.81004555622</v>
      </c>
      <c r="M42" s="59">
        <f t="shared" si="11"/>
        <v>579230.78147675609</v>
      </c>
      <c r="N42" s="59">
        <f t="shared" si="11"/>
        <v>810002.08114784351</v>
      </c>
      <c r="U42" s="7"/>
      <c r="Y42" s="24"/>
      <c r="Z42" s="24"/>
      <c r="AA42" s="24"/>
      <c r="AB42" s="24"/>
      <c r="AC42" s="24"/>
      <c r="AD42" s="24"/>
    </row>
    <row r="43" spans="2:30" x14ac:dyDescent="0.25">
      <c r="I43" s="45"/>
      <c r="K43" s="13"/>
      <c r="U43" s="7"/>
      <c r="Y43" s="7"/>
      <c r="Z43" s="7"/>
      <c r="AA43" s="7"/>
      <c r="AB43" s="7"/>
      <c r="AC43" s="7"/>
      <c r="AD43" s="7"/>
    </row>
    <row r="44" spans="2:30" x14ac:dyDescent="0.25">
      <c r="B44" t="s">
        <v>21</v>
      </c>
      <c r="E44" s="15"/>
      <c r="F44" s="15"/>
      <c r="G44" s="15"/>
      <c r="H44" s="15"/>
      <c r="I44" s="46"/>
      <c r="J44" s="15">
        <f>J23</f>
        <v>3570</v>
      </c>
      <c r="K44" s="15">
        <f t="shared" ref="K44:N44" si="12">K23</f>
        <v>5967</v>
      </c>
      <c r="L44" s="15">
        <f t="shared" si="12"/>
        <v>11000</v>
      </c>
      <c r="M44" s="15">
        <f t="shared" si="12"/>
        <v>15000</v>
      </c>
      <c r="N44" s="15">
        <f t="shared" si="12"/>
        <v>22000</v>
      </c>
      <c r="U44" s="7"/>
    </row>
    <row r="45" spans="2:30" x14ac:dyDescent="0.25">
      <c r="B45" s="12" t="s">
        <v>17</v>
      </c>
      <c r="E45" s="22"/>
      <c r="F45" s="22"/>
      <c r="G45" s="22"/>
      <c r="H45" s="22"/>
      <c r="I45" s="47"/>
      <c r="J45" s="23">
        <f>J44/J33</f>
        <v>1.0926981641942378E-2</v>
      </c>
      <c r="K45" s="23">
        <f t="shared" ref="K45:N45" si="13">K44/K33</f>
        <v>1.1805862518305088E-2</v>
      </c>
      <c r="L45" s="23">
        <f t="shared" si="13"/>
        <v>1.3150321501526875E-2</v>
      </c>
      <c r="M45" s="23">
        <f t="shared" si="13"/>
        <v>1.1465637207794879E-2</v>
      </c>
      <c r="N45" s="23">
        <f t="shared" si="13"/>
        <v>1.1875895412970214E-2</v>
      </c>
      <c r="U45" s="7"/>
      <c r="Y45" s="24"/>
      <c r="Z45" s="24"/>
      <c r="AA45" s="24"/>
    </row>
    <row r="46" spans="2:30" x14ac:dyDescent="0.25">
      <c r="I46" s="45"/>
    </row>
    <row r="47" spans="2:30" x14ac:dyDescent="0.25">
      <c r="B47" t="s">
        <v>22</v>
      </c>
      <c r="E47" s="15"/>
      <c r="F47" s="15"/>
      <c r="G47" s="15"/>
      <c r="H47" s="15"/>
      <c r="I47" s="46"/>
      <c r="J47" s="15">
        <f>J26</f>
        <v>11500</v>
      </c>
      <c r="K47" s="15">
        <f t="shared" ref="K47:N47" si="14">K26</f>
        <v>20500</v>
      </c>
      <c r="L47" s="15">
        <f t="shared" si="14"/>
        <v>27300</v>
      </c>
      <c r="M47" s="15">
        <f t="shared" si="14"/>
        <v>33000</v>
      </c>
      <c r="N47" s="15">
        <f t="shared" si="14"/>
        <v>38000</v>
      </c>
      <c r="U47" s="7"/>
    </row>
    <row r="48" spans="2:30" x14ac:dyDescent="0.25">
      <c r="B48" s="12" t="s">
        <v>17</v>
      </c>
      <c r="E48" s="22"/>
      <c r="F48" s="22"/>
      <c r="G48" s="22"/>
      <c r="H48" s="22"/>
      <c r="I48" s="47"/>
      <c r="J48" s="23">
        <f>J47/J33</f>
        <v>3.5198960471242956E-2</v>
      </c>
      <c r="K48" s="23">
        <f t="shared" ref="K48:N48" si="15">K47/K33</f>
        <v>4.0559775703913913E-2</v>
      </c>
      <c r="L48" s="23">
        <f t="shared" si="15"/>
        <v>3.2636706999243974E-2</v>
      </c>
      <c r="M48" s="23">
        <f t="shared" si="15"/>
        <v>2.5224401857148734E-2</v>
      </c>
      <c r="N48" s="23">
        <f t="shared" si="15"/>
        <v>2.0512910258766733E-2</v>
      </c>
      <c r="U48" s="7"/>
      <c r="Y48" s="26"/>
      <c r="Z48" s="26"/>
      <c r="AA48" s="26"/>
      <c r="AB48" s="26"/>
      <c r="AC48" s="26"/>
      <c r="AD48" s="26"/>
    </row>
    <row r="49" spans="1:27" x14ac:dyDescent="0.25">
      <c r="I49" s="45"/>
    </row>
    <row r="50" spans="1:27" x14ac:dyDescent="0.25">
      <c r="B50" t="s">
        <v>23</v>
      </c>
      <c r="E50" s="30"/>
      <c r="F50" s="30"/>
      <c r="G50" s="30"/>
      <c r="H50" s="30"/>
      <c r="I50" s="48"/>
      <c r="J50" s="31">
        <f>J51*J33</f>
        <v>-22527.565918451426</v>
      </c>
      <c r="K50" s="31">
        <f t="shared" ref="K50:N50" si="16">K51*K33</f>
        <v>-34850.144475844354</v>
      </c>
      <c r="L50" s="31">
        <f t="shared" si="16"/>
        <v>-57676.989107522408</v>
      </c>
      <c r="M50" s="31">
        <f t="shared" si="16"/>
        <v>-90206.810964165052</v>
      </c>
      <c r="N50" s="31">
        <f t="shared" si="16"/>
        <v>-127732.84432525771</v>
      </c>
      <c r="U50" s="7"/>
      <c r="Y50" s="26"/>
      <c r="Z50" s="26"/>
      <c r="AA50" s="26"/>
    </row>
    <row r="51" spans="1:27" x14ac:dyDescent="0.25">
      <c r="B51" s="12" t="s">
        <v>17</v>
      </c>
      <c r="E51" s="38"/>
      <c r="F51" s="38"/>
      <c r="G51" s="38"/>
      <c r="H51" s="38"/>
      <c r="I51" s="49"/>
      <c r="J51" s="38">
        <f>AVERAGE(G30:I30)</f>
        <v>-6.8951904545816664E-2</v>
      </c>
      <c r="K51" s="37">
        <v>-6.8951904545816664E-2</v>
      </c>
      <c r="L51" s="38">
        <v>-6.8951904545816664E-2</v>
      </c>
      <c r="M51" s="38">
        <v>-6.8951904545816664E-2</v>
      </c>
      <c r="N51" s="38">
        <v>-6.8951904545816664E-2</v>
      </c>
    </row>
    <row r="52" spans="1:27" x14ac:dyDescent="0.25">
      <c r="I52" s="50"/>
    </row>
    <row r="53" spans="1:27" x14ac:dyDescent="0.25">
      <c r="B53" s="55" t="s">
        <v>27</v>
      </c>
      <c r="C53" s="56"/>
      <c r="D53" s="56"/>
      <c r="E53" s="56"/>
      <c r="F53" s="56"/>
      <c r="G53" s="56"/>
      <c r="H53" s="56"/>
      <c r="I53" s="57"/>
      <c r="J53" s="58">
        <f>J42+J44-J47-J50</f>
        <v>184080.55405595139</v>
      </c>
      <c r="K53" s="58">
        <f t="shared" ref="K53:N53" si="17">K42+K44-K47-K50</f>
        <v>249654.58134688687</v>
      </c>
      <c r="L53" s="58">
        <f t="shared" si="17"/>
        <v>416329.79915307864</v>
      </c>
      <c r="M53" s="58">
        <f t="shared" si="17"/>
        <v>651437.59244092111</v>
      </c>
      <c r="N53" s="58">
        <f t="shared" si="17"/>
        <v>921734.9254731012</v>
      </c>
      <c r="P53" s="71"/>
    </row>
    <row r="54" spans="1:27" x14ac:dyDescent="0.25">
      <c r="B54" s="55" t="s">
        <v>28</v>
      </c>
      <c r="C54" s="56"/>
      <c r="D54" s="56"/>
      <c r="E54" s="56"/>
      <c r="F54" s="56"/>
      <c r="G54" s="56"/>
      <c r="H54" s="56"/>
      <c r="I54" s="57"/>
      <c r="J54" s="58">
        <f>J53/(1+wacc)^J11</f>
        <v>161330.97629103574</v>
      </c>
      <c r="K54" s="58">
        <f>K53/(1+wacc)^K11</f>
        <v>191760.53748619283</v>
      </c>
      <c r="L54" s="58">
        <f>L53/(1+wacc)^L11</f>
        <v>280263.82462764689</v>
      </c>
      <c r="M54" s="58">
        <f>M53/(1+wacc)^M11</f>
        <v>384337.01532316505</v>
      </c>
      <c r="N54" s="58">
        <f>N53/(1+wacc)^N11</f>
        <v>476601.37309070874</v>
      </c>
      <c r="P54" s="71"/>
    </row>
    <row r="55" spans="1:27" x14ac:dyDescent="0.25">
      <c r="J55" s="32"/>
    </row>
    <row r="56" spans="1:27" x14ac:dyDescent="0.25">
      <c r="A56" t="s">
        <v>2</v>
      </c>
      <c r="B56" t="s">
        <v>29</v>
      </c>
      <c r="J56" s="32"/>
      <c r="N56" s="31">
        <f>N53*(1+tgr)/(wacc-tgr)</f>
        <v>8552123.5927124154</v>
      </c>
    </row>
    <row r="57" spans="1:27" x14ac:dyDescent="0.25">
      <c r="B57" s="1" t="s">
        <v>30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51">
        <f>N56/(1+wacc)^N11</f>
        <v>4422045.5734994607</v>
      </c>
    </row>
    <row r="58" spans="1:27" x14ac:dyDescent="0.25">
      <c r="B58" s="19" t="s">
        <v>31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54">
        <f>SUM(J54:N54,N57)</f>
        <v>5916339.3003182095</v>
      </c>
    </row>
    <row r="59" spans="1:27" x14ac:dyDescent="0.25">
      <c r="B59" s="33" t="s">
        <v>32</v>
      </c>
      <c r="N59" s="70">
        <f>62556</f>
        <v>62556</v>
      </c>
    </row>
    <row r="60" spans="1:27" x14ac:dyDescent="0.25">
      <c r="B60" s="52" t="s">
        <v>33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9">
        <v>8468</v>
      </c>
    </row>
    <row r="61" spans="1:27" x14ac:dyDescent="0.25">
      <c r="B61" s="19" t="s">
        <v>34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54">
        <f>N58+N59-N60</f>
        <v>5970427.3003182095</v>
      </c>
    </row>
    <row r="62" spans="1:27" x14ac:dyDescent="0.25">
      <c r="B62" s="1" t="s">
        <v>35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8">
        <v>24150</v>
      </c>
    </row>
    <row r="63" spans="1:27" x14ac:dyDescent="0.25">
      <c r="A63" t="s">
        <v>2</v>
      </c>
      <c r="B63" s="19" t="s">
        <v>36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53">
        <f>N61/N62</f>
        <v>247.2226625390563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topLeftCell="A7" zoomScale="150" zoomScaleNormal="150" workbookViewId="0">
      <selection activeCell="D9" sqref="D9"/>
    </sheetView>
  </sheetViews>
  <sheetFormatPr defaultColWidth="9.7109375" defaultRowHeight="15" outlineLevelCol="1" x14ac:dyDescent="0.25"/>
  <cols>
    <col min="1" max="1" width="3.7109375" customWidth="1"/>
    <col min="5" max="10" width="9.7109375" customWidth="1" outlineLevel="1"/>
    <col min="11" max="18" width="9.7109375" customWidth="1"/>
    <col min="22" max="26" width="10.42578125" bestFit="1" customWidth="1"/>
    <col min="27" max="27" width="12" bestFit="1" customWidth="1"/>
    <col min="30" max="30" width="10.28515625" bestFit="1" customWidth="1"/>
  </cols>
  <sheetData>
    <row r="2" spans="1:9" s="1" customFormat="1" ht="21" x14ac:dyDescent="0.35">
      <c r="B2" s="2" t="s">
        <v>11</v>
      </c>
    </row>
    <row r="4" spans="1:9" x14ac:dyDescent="0.25">
      <c r="A4" t="s">
        <v>2</v>
      </c>
      <c r="B4" s="4" t="s">
        <v>11</v>
      </c>
      <c r="C4" s="3"/>
      <c r="D4" s="3"/>
      <c r="E4" s="3"/>
      <c r="F4" s="3"/>
      <c r="G4" s="3"/>
      <c r="H4" s="3"/>
      <c r="I4" s="3"/>
    </row>
    <row r="5" spans="1:9" x14ac:dyDescent="0.25">
      <c r="B5" s="19" t="s">
        <v>37</v>
      </c>
    </row>
    <row r="6" spans="1:9" x14ac:dyDescent="0.25">
      <c r="B6" s="19" t="s">
        <v>38</v>
      </c>
    </row>
    <row r="8" spans="1:9" x14ac:dyDescent="0.25">
      <c r="B8" t="s">
        <v>39</v>
      </c>
      <c r="D8" s="13">
        <v>7500</v>
      </c>
    </row>
    <row r="9" spans="1:9" x14ac:dyDescent="0.25">
      <c r="B9" t="s">
        <v>40</v>
      </c>
      <c r="D9" s="61">
        <f>(D8/D20)</f>
        <v>1.3140604467805519E-3</v>
      </c>
    </row>
    <row r="10" spans="1:9" x14ac:dyDescent="0.25">
      <c r="B10" t="s">
        <v>41</v>
      </c>
      <c r="D10" s="60">
        <v>0.03</v>
      </c>
      <c r="H10" t="s">
        <v>49</v>
      </c>
    </row>
    <row r="11" spans="1:9" x14ac:dyDescent="0.25">
      <c r="B11" t="s">
        <v>42</v>
      </c>
      <c r="D11" s="60">
        <v>0.20499999999999999</v>
      </c>
    </row>
    <row r="13" spans="1:9" x14ac:dyDescent="0.25">
      <c r="B13" t="s">
        <v>34</v>
      </c>
      <c r="D13" s="13">
        <v>5700000</v>
      </c>
    </row>
    <row r="14" spans="1:9" x14ac:dyDescent="0.25">
      <c r="B14" t="s">
        <v>43</v>
      </c>
      <c r="D14" s="17">
        <f>(D13/D20)</f>
        <v>0.99868593955321949</v>
      </c>
    </row>
    <row r="15" spans="1:9" x14ac:dyDescent="0.25">
      <c r="B15" t="s">
        <v>44</v>
      </c>
      <c r="D15" s="26">
        <f>D16+(D17*D18)</f>
        <v>0.14116600000000001</v>
      </c>
    </row>
    <row r="16" spans="1:9" x14ac:dyDescent="0.25">
      <c r="B16" t="s">
        <v>45</v>
      </c>
      <c r="D16" s="60">
        <v>4.2599999999999999E-2</v>
      </c>
    </row>
    <row r="17" spans="1:4" x14ac:dyDescent="0.25">
      <c r="B17" t="s">
        <v>46</v>
      </c>
      <c r="D17" s="62">
        <v>2.21</v>
      </c>
    </row>
    <row r="18" spans="1:4" x14ac:dyDescent="0.25">
      <c r="B18" t="s">
        <v>47</v>
      </c>
      <c r="D18" s="60">
        <v>4.4600000000000001E-2</v>
      </c>
    </row>
    <row r="20" spans="1:4" x14ac:dyDescent="0.25">
      <c r="B20" t="s">
        <v>48</v>
      </c>
      <c r="D20" s="13">
        <f>D8+D13</f>
        <v>5707500</v>
      </c>
    </row>
    <row r="22" spans="1:4" x14ac:dyDescent="0.25">
      <c r="A22" t="s">
        <v>2</v>
      </c>
      <c r="B22" s="63" t="s">
        <v>11</v>
      </c>
      <c r="C22" s="64"/>
      <c r="D22" s="65">
        <f>(D14*D15)+D9*D10*(1-D11)</f>
        <v>0.14101183968462552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77764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711B3DE4-1D2D-41B1-AFF1-87866EF7E7A5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DCF!tgr</vt:lpstr>
      <vt:lpstr>DCF!wacc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>Luke Philbrick</cp:lastModifiedBy>
  <cp:revision/>
  <dcterms:created xsi:type="dcterms:W3CDTF">2022-06-12T18:45:32Z</dcterms:created>
  <dcterms:modified xsi:type="dcterms:W3CDTF">2026-10-06T16:59:13Z</dcterms:modified>
  <cp:category/>
  <cp:contentStatus/>
</cp:coreProperties>
</file>